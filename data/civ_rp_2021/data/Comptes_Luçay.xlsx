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udegrasland1/worldregio/afromapr/data/civ_rp_2021/data/"/>
    </mc:Choice>
  </mc:AlternateContent>
  <xr:revisionPtr revIDLastSave="0" documentId="13_ncr:1_{8E4C1143-BD3B-554A-B8A7-EB649887DE1A}" xr6:coauthVersionLast="47" xr6:coauthVersionMax="47" xr10:uidLastSave="{00000000-0000-0000-0000-000000000000}"/>
  <bookViews>
    <workbookView xWindow="3260" yWindow="2160" windowWidth="28040" windowHeight="17440" activeTab="1" xr2:uid="{BF753FAD-D12E-5942-88AF-8481CD9C130B}"/>
  </bookViews>
  <sheets>
    <sheet name="Succession" sheetId="1" r:id="rId1"/>
    <sheet name="Cha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F4" i="2"/>
  <c r="F5" i="2" s="1"/>
  <c r="E4" i="2"/>
  <c r="E3" i="2"/>
  <c r="E5" i="2" s="1"/>
  <c r="B7" i="2"/>
  <c r="B5" i="2"/>
  <c r="G12" i="1"/>
  <c r="E12" i="1"/>
  <c r="C12" i="1"/>
  <c r="I12" i="1" s="1"/>
  <c r="E2" i="1"/>
  <c r="C3" i="1"/>
  <c r="C2" i="1"/>
  <c r="G14" i="1" l="1"/>
  <c r="G16" i="1" s="1"/>
  <c r="C14" i="1"/>
  <c r="C16" i="1" s="1"/>
  <c r="E14" i="1"/>
  <c r="E16" i="1" s="1"/>
</calcChain>
</file>

<file path=xl/sharedStrings.xml><?xml version="1.0" encoding="utf-8"?>
<sst xmlns="http://schemas.openxmlformats.org/spreadsheetml/2006/main" count="35" uniqueCount="32">
  <si>
    <t>Serge</t>
  </si>
  <si>
    <t xml:space="preserve">Catherine </t>
  </si>
  <si>
    <t>Claude</t>
  </si>
  <si>
    <t>Voyage(x 5)</t>
  </si>
  <si>
    <t xml:space="preserve">Péages( x5) </t>
  </si>
  <si>
    <t>Canal</t>
  </si>
  <si>
    <t>Orange</t>
  </si>
  <si>
    <t>EDF</t>
  </si>
  <si>
    <t>Ass. Maison</t>
  </si>
  <si>
    <t>Damien</t>
  </si>
  <si>
    <t>Voyages (x5)</t>
  </si>
  <si>
    <t>Repas</t>
  </si>
  <si>
    <t>Foulquetière</t>
  </si>
  <si>
    <t>Caution</t>
  </si>
  <si>
    <t>Total</t>
  </si>
  <si>
    <t>Solde</t>
  </si>
  <si>
    <t>TOTAL</t>
  </si>
  <si>
    <t>TOTAL /3</t>
  </si>
  <si>
    <t>Nombre jours</t>
  </si>
  <si>
    <t>Résultat</t>
  </si>
  <si>
    <t xml:space="preserve">Catherine doit 1132 à Serge et 73 à Claude </t>
  </si>
  <si>
    <t>C</t>
  </si>
  <si>
    <t>Catherine</t>
  </si>
  <si>
    <t>A payé</t>
  </si>
  <si>
    <t>Total/2</t>
  </si>
  <si>
    <t>Tarif journalier</t>
  </si>
  <si>
    <t>Total pension</t>
  </si>
  <si>
    <t>Frais véto</t>
  </si>
  <si>
    <t>TOTAL GENERAL</t>
  </si>
  <si>
    <t>Claude rembourse Serge à la place de Catherine</t>
  </si>
  <si>
    <t>Claude doit à Catherine</t>
  </si>
  <si>
    <t>Claude rembourse à Catherine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</si>
</sst>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2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2" fillId="4" borderId="1" xfId="0" applyFont="1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1" fillId="0" borderId="0" xfId="0" applyFont="1"/>
    <xf numFmtId="1" fontId="2" fillId="0" borderId="0" xfId="0" applyNumberFormat="1" applyFont="1"/>
    <xf numFmtId="1" fontId="4" fillId="0" borderId="0" xfId="0" applyNumberFormat="1" applyFont="1"/>
    <xf numFmtId="1" fontId="3" fillId="0" borderId="0" xfId="0" applyNumberFormat="1" applyFont="1"/>
    <xf numFmtId="1" fontId="5" fillId="0" borderId="0" xfId="0" applyNumberFormat="1" applyFont="1"/>
    <xf numFmtId="0" fontId="6" fillId="0" borderId="0" xfId="0" applyFont="1"/>
    <xf numFmtId="0" fontId="7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DAF-DAFC-134F-9654-2BD4DCD97219}">
  <dimension ref="A1:I19"/>
  <sheetViews>
    <sheetView zoomScale="190" zoomScaleNormal="190" workbookViewId="0">
      <selection activeCell="G4" sqref="G4"/>
    </sheetView>
  </sheetViews>
  <sheetFormatPr baseColWidth="10" defaultRowHeight="16" x14ac:dyDescent="0.2"/>
  <cols>
    <col min="2" max="3" width="15.5" customWidth="1"/>
    <col min="4" max="4" width="13.1640625" customWidth="1"/>
    <col min="5" max="5" width="9" customWidth="1"/>
    <col min="6" max="6" width="16.6640625" customWidth="1"/>
  </cols>
  <sheetData>
    <row r="1" spans="2:9" x14ac:dyDescent="0.2">
      <c r="B1" s="2" t="s">
        <v>0</v>
      </c>
      <c r="C1" s="3"/>
      <c r="D1" s="8" t="s">
        <v>1</v>
      </c>
      <c r="E1" s="9"/>
      <c r="F1" s="14" t="s">
        <v>2</v>
      </c>
      <c r="G1" s="15"/>
    </row>
    <row r="2" spans="2:9" x14ac:dyDescent="0.2">
      <c r="B2" s="4" t="s">
        <v>3</v>
      </c>
      <c r="C2" s="5">
        <f>0.66*500*5</f>
        <v>1650</v>
      </c>
      <c r="D2" s="10" t="s">
        <v>10</v>
      </c>
      <c r="E2" s="11">
        <f>0.66*400*5</f>
        <v>1320</v>
      </c>
      <c r="F2" s="16" t="s">
        <v>11</v>
      </c>
      <c r="G2" s="17">
        <v>1000</v>
      </c>
    </row>
    <row r="3" spans="2:9" x14ac:dyDescent="0.2">
      <c r="B3" s="4" t="s">
        <v>4</v>
      </c>
      <c r="C3" s="5">
        <f>35.6*5</f>
        <v>178</v>
      </c>
      <c r="D3" s="10" t="s">
        <v>9</v>
      </c>
      <c r="E3" s="11">
        <v>75</v>
      </c>
      <c r="F3" s="16" t="s">
        <v>12</v>
      </c>
      <c r="G3" s="17">
        <v>700</v>
      </c>
    </row>
    <row r="4" spans="2:9" x14ac:dyDescent="0.2">
      <c r="B4" s="4" t="s">
        <v>5</v>
      </c>
      <c r="C4" s="5">
        <v>140</v>
      </c>
      <c r="D4" s="10"/>
      <c r="E4" s="11"/>
      <c r="F4" s="16" t="s">
        <v>13</v>
      </c>
      <c r="G4" s="17">
        <v>900</v>
      </c>
    </row>
    <row r="5" spans="2:9" x14ac:dyDescent="0.2">
      <c r="B5" s="4" t="s">
        <v>6</v>
      </c>
      <c r="C5" s="5">
        <v>30</v>
      </c>
      <c r="D5" s="10"/>
      <c r="E5" s="11"/>
      <c r="F5" s="16"/>
      <c r="G5" s="17"/>
    </row>
    <row r="6" spans="2:9" x14ac:dyDescent="0.2">
      <c r="B6" s="4" t="s">
        <v>7</v>
      </c>
      <c r="C6" s="5">
        <v>1300</v>
      </c>
      <c r="D6" s="10"/>
      <c r="E6" s="11"/>
      <c r="F6" s="16"/>
      <c r="G6" s="17"/>
    </row>
    <row r="7" spans="2:9" x14ac:dyDescent="0.2">
      <c r="B7" s="4" t="s">
        <v>8</v>
      </c>
      <c r="C7" s="5">
        <v>213</v>
      </c>
      <c r="D7" s="10"/>
      <c r="E7" s="11"/>
      <c r="F7" s="16"/>
      <c r="G7" s="17"/>
    </row>
    <row r="8" spans="2:9" x14ac:dyDescent="0.2">
      <c r="B8" s="4" t="s">
        <v>9</v>
      </c>
      <c r="C8" s="5">
        <v>75</v>
      </c>
      <c r="D8" s="10"/>
      <c r="E8" s="11"/>
      <c r="F8" s="16"/>
      <c r="G8" s="17"/>
    </row>
    <row r="9" spans="2:9" x14ac:dyDescent="0.2">
      <c r="B9" s="4"/>
      <c r="C9" s="5"/>
      <c r="D9" s="10"/>
      <c r="E9" s="11"/>
      <c r="F9" s="16"/>
      <c r="G9" s="17"/>
    </row>
    <row r="10" spans="2:9" x14ac:dyDescent="0.2">
      <c r="B10" s="4"/>
      <c r="C10" s="5"/>
      <c r="D10" s="10"/>
      <c r="E10" s="11"/>
      <c r="F10" s="16"/>
      <c r="G10" s="17"/>
    </row>
    <row r="11" spans="2:9" x14ac:dyDescent="0.2">
      <c r="B11" s="6"/>
      <c r="C11" s="7"/>
      <c r="D11" s="12"/>
      <c r="E11" s="13"/>
      <c r="F11" s="18"/>
      <c r="G11" s="19"/>
      <c r="I11" s="25" t="s">
        <v>16</v>
      </c>
    </row>
    <row r="12" spans="2:9" x14ac:dyDescent="0.2">
      <c r="B12" t="s">
        <v>14</v>
      </c>
      <c r="C12" s="1">
        <f>SUM(C2:C8)</f>
        <v>3586</v>
      </c>
      <c r="E12" s="1">
        <f>SUM(E2:E3)</f>
        <v>1395</v>
      </c>
      <c r="G12" s="1">
        <f>SUM(G2:G4)</f>
        <v>2600</v>
      </c>
      <c r="I12" s="25">
        <f>SUM(C12:G12)</f>
        <v>7581</v>
      </c>
    </row>
    <row r="14" spans="2:9" x14ac:dyDescent="0.2">
      <c r="B14" t="s">
        <v>17</v>
      </c>
      <c r="C14" s="21">
        <f>I12/3</f>
        <v>2527</v>
      </c>
      <c r="D14" s="21"/>
      <c r="E14" s="21">
        <f>I12/3</f>
        <v>2527</v>
      </c>
      <c r="F14" s="21"/>
      <c r="G14" s="21">
        <f>I12/3</f>
        <v>2527</v>
      </c>
    </row>
    <row r="16" spans="2:9" x14ac:dyDescent="0.2">
      <c r="B16" t="s">
        <v>15</v>
      </c>
      <c r="C16" s="22">
        <f>C12-C14</f>
        <v>1059</v>
      </c>
      <c r="E16" s="23">
        <f>E12-E14</f>
        <v>-1132</v>
      </c>
      <c r="G16" s="24">
        <f>G12-G14</f>
        <v>73</v>
      </c>
    </row>
    <row r="19" spans="1:4" x14ac:dyDescent="0.2">
      <c r="A19" s="26" t="s">
        <v>19</v>
      </c>
      <c r="B19" s="26" t="s">
        <v>20</v>
      </c>
      <c r="C19" s="26"/>
      <c r="D19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5D84B-0D8A-2A46-89C7-63220AAFE33B}">
  <dimension ref="A2:F13"/>
  <sheetViews>
    <sheetView tabSelected="1" zoomScale="180" zoomScaleNormal="180" workbookViewId="0">
      <selection activeCell="D16" sqref="D16"/>
    </sheetView>
  </sheetViews>
  <sheetFormatPr baseColWidth="10" defaultRowHeight="16" x14ac:dyDescent="0.2"/>
  <cols>
    <col min="1" max="1" width="25.1640625" customWidth="1"/>
    <col min="2" max="2" width="30.5" customWidth="1"/>
  </cols>
  <sheetData>
    <row r="2" spans="1:6" x14ac:dyDescent="0.2">
      <c r="E2" t="s">
        <v>22</v>
      </c>
      <c r="F2" t="s">
        <v>2</v>
      </c>
    </row>
    <row r="3" spans="1:6" x14ac:dyDescent="0.2">
      <c r="A3" t="s">
        <v>25</v>
      </c>
      <c r="B3">
        <v>10</v>
      </c>
      <c r="D3" t="s">
        <v>23</v>
      </c>
      <c r="E3">
        <f>B7</f>
        <v>3040</v>
      </c>
      <c r="F3">
        <v>0</v>
      </c>
    </row>
    <row r="4" spans="1:6" x14ac:dyDescent="0.2">
      <c r="A4" t="s">
        <v>18</v>
      </c>
      <c r="B4">
        <v>304</v>
      </c>
      <c r="D4" t="s">
        <v>24</v>
      </c>
      <c r="E4">
        <f>E3/2</f>
        <v>1520</v>
      </c>
      <c r="F4">
        <f>E3/2</f>
        <v>1520</v>
      </c>
    </row>
    <row r="5" spans="1:6" x14ac:dyDescent="0.2">
      <c r="A5" t="s">
        <v>26</v>
      </c>
      <c r="B5" s="28">
        <f>B3*B4</f>
        <v>3040</v>
      </c>
      <c r="D5" t="s">
        <v>15</v>
      </c>
      <c r="E5" s="27">
        <f>E3-E4</f>
        <v>1520</v>
      </c>
      <c r="F5" s="20">
        <f>F3-F4</f>
        <v>-1520</v>
      </c>
    </row>
    <row r="6" spans="1:6" x14ac:dyDescent="0.2">
      <c r="A6" t="s">
        <v>27</v>
      </c>
    </row>
    <row r="7" spans="1:6" x14ac:dyDescent="0.2">
      <c r="A7" t="s">
        <v>28</v>
      </c>
      <c r="B7" s="1">
        <f>B5+B6</f>
        <v>3040</v>
      </c>
    </row>
    <row r="9" spans="1:6" x14ac:dyDescent="0.2">
      <c r="B9" t="s">
        <v>21</v>
      </c>
    </row>
    <row r="11" spans="1:6" x14ac:dyDescent="0.2">
      <c r="B11" t="s">
        <v>30</v>
      </c>
      <c r="D11">
        <v>1520</v>
      </c>
    </row>
    <row r="12" spans="1:6" x14ac:dyDescent="0.2">
      <c r="B12" t="s">
        <v>29</v>
      </c>
      <c r="D12">
        <v>1059</v>
      </c>
    </row>
    <row r="13" spans="1:6" x14ac:dyDescent="0.2">
      <c r="B13" t="s">
        <v>31</v>
      </c>
      <c r="D13">
        <f>D11-D12</f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Succession</vt:lpstr>
      <vt:lpstr>Chat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Grasland</dc:creator>
  <cp:lastModifiedBy>Claude Grasland</cp:lastModifiedBy>
  <dcterms:created xsi:type="dcterms:W3CDTF">2025-06-07T08:16:52Z</dcterms:created>
  <dcterms:modified xsi:type="dcterms:W3CDTF">2025-06-07T09:03:55Z</dcterms:modified>
</cp:coreProperties>
</file>